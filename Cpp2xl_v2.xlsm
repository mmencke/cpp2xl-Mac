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mencke/Documents/CBS/CM(mat)/2. semester/FinKont2/cppFiles/"/>
    </mc:Choice>
  </mc:AlternateContent>
  <xr:revisionPtr revIDLastSave="0" documentId="13_ncr:1_{FD718943-06A3-D24D-9426-C174FCA30EF3}" xr6:coauthVersionLast="45" xr6:coauthVersionMax="45" xr10:uidLastSave="{00000000-0000-0000-0000-000000000000}"/>
  <bookViews>
    <workbookView xWindow="0" yWindow="460" windowWidth="25600" windowHeight="14180" xr2:uid="{600EFC5F-BFB0-7949-819E-07590E5878A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7" i="1" l="1"/>
  <c r="B8" i="1"/>
  <c r="B24" i="1"/>
  <c r="B10" i="1" l="1"/>
  <c r="B11" i="1" l="1"/>
  <c r="B12" i="1" s="1"/>
</calcChain>
</file>

<file path=xl/sharedStrings.xml><?xml version="1.0" encoding="utf-8"?>
<sst xmlns="http://schemas.openxmlformats.org/spreadsheetml/2006/main" count="14" uniqueCount="14">
  <si>
    <t>d1</t>
  </si>
  <si>
    <t>d2</t>
  </si>
  <si>
    <t>spot</t>
  </si>
  <si>
    <t>strike</t>
  </si>
  <si>
    <t>mat</t>
  </si>
  <si>
    <t>rate</t>
  </si>
  <si>
    <t>vol</t>
  </si>
  <si>
    <t>BS Price</t>
  </si>
  <si>
    <t>Obs Price</t>
  </si>
  <si>
    <t>Implied vol</t>
  </si>
  <si>
    <t>Monte Carlo</t>
  </si>
  <si>
    <t>drift</t>
  </si>
  <si>
    <t>nPaths</t>
  </si>
  <si>
    <t>nSteps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</si>
</sst>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3" fontId="0" fillId="0" borderId="0" xfId="0" applyNumberFormat="1"/>
    <xf numFmtId="9" fontId="0" fillId="0" borderId="0" xfId="1" applyFon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6392-930B-7C4E-B86C-91B08317487D}">
  <sheetPr codeName="Sheet1"/>
  <dimension ref="A1:B24"/>
  <sheetViews>
    <sheetView tabSelected="1" workbookViewId="0">
      <selection activeCell="B13" sqref="B13"/>
    </sheetView>
  </sheetViews>
  <sheetFormatPr baseColWidth="10" defaultRowHeight="16"/>
  <cols>
    <col min="1" max="2" width="15.6640625" bestFit="1" customWidth="1"/>
  </cols>
  <sheetData>
    <row r="1" spans="1:2">
      <c r="A1" t="s">
        <v>2</v>
      </c>
      <c r="B1" s="1">
        <v>100</v>
      </c>
    </row>
    <row r="2" spans="1:2">
      <c r="A2" t="s">
        <v>3</v>
      </c>
      <c r="B2" s="1">
        <v>90</v>
      </c>
    </row>
    <row r="3" spans="1:2">
      <c r="A3" t="s">
        <v>4</v>
      </c>
      <c r="B3">
        <v>1</v>
      </c>
    </row>
    <row r="4" spans="1:2">
      <c r="A4" t="s">
        <v>11</v>
      </c>
      <c r="B4" s="3">
        <v>0.1</v>
      </c>
    </row>
    <row r="5" spans="1:2">
      <c r="A5" t="s">
        <v>5</v>
      </c>
      <c r="B5" s="3">
        <v>0</v>
      </c>
    </row>
    <row r="6" spans="1:2">
      <c r="A6" t="s">
        <v>6</v>
      </c>
      <c r="B6" s="3">
        <v>0.25</v>
      </c>
    </row>
    <row r="8" spans="1:2">
      <c r="A8" t="s">
        <v>7</v>
      </c>
      <c r="B8" s="1">
        <f>BlackScholes(B1,B2,B3,B5,B6)</f>
        <v>15.272066431660726</v>
      </c>
    </row>
    <row r="10" spans="1:2">
      <c r="A10" t="s">
        <v>0</v>
      </c>
      <c r="B10" s="1">
        <f>(LN(B1/B2)+(B5+B6^2/2)*B3)/(B6*SQRT(B3))</f>
        <v>0.54644206263130535</v>
      </c>
    </row>
    <row r="11" spans="1:2">
      <c r="A11" t="s">
        <v>1</v>
      </c>
      <c r="B11" s="1">
        <f>B10-SQRT(B3)*B6</f>
        <v>0.29644206263130535</v>
      </c>
    </row>
    <row r="12" spans="1:2">
      <c r="B12" s="1">
        <f>B1*_xlfn.NORM.S.DIST(B10,TRUE)-EXP(-B5*B3)*B2*_xlfn.NORM.S.DIST(B11,TRUE)</f>
        <v>15.272057641846089</v>
      </c>
    </row>
    <row r="16" spans="1:2">
      <c r="A16" t="s">
        <v>8</v>
      </c>
      <c r="B16">
        <v>15</v>
      </c>
    </row>
    <row r="17" spans="1:2">
      <c r="A17" t="s">
        <v>9</v>
      </c>
      <c r="B17" s="3">
        <f>BlackScholesIV(B1,B2,B3,B5,B16)</f>
        <v>0.24206177825927738</v>
      </c>
    </row>
    <row r="21" spans="1:2">
      <c r="A21" t="s">
        <v>12</v>
      </c>
      <c r="B21" s="2">
        <v>100000</v>
      </c>
    </row>
    <row r="22" spans="1:2">
      <c r="A22" t="s">
        <v>13</v>
      </c>
      <c r="B22">
        <v>252</v>
      </c>
    </row>
    <row r="24" spans="1:2">
      <c r="A24" t="s">
        <v>10</v>
      </c>
      <c r="B24" s="1">
        <f>BlackScholesMonteCarlo(B1,B2,B3,B4,B6,B21,B22)</f>
        <v>23.432814218303186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2020-03-11T12:55:09Z</dcterms:created>
  <dcterms:modified xsi:type="dcterms:W3CDTF">2020-03-11T19:33:04Z</dcterms:modified>
</cp:coreProperties>
</file>